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uq-my.sharepoint.com/personal/uqmkoh1_uq_edu_au/Documents/International Programs/R Crash Course/"/>
    </mc:Choice>
  </mc:AlternateContent>
  <xr:revisionPtr revIDLastSave="57" documentId="11_EA6B553EBFE951814C982194CE7DC127CDEFA6C9" xr6:coauthVersionLast="47" xr6:coauthVersionMax="47" xr10:uidLastSave="{531F5129-763A-4D73-A66C-A7846829508E}"/>
  <bookViews>
    <workbookView xWindow="-108" yWindow="-108" windowWidth="23256" windowHeight="13896" xr2:uid="{00000000-000D-0000-FFFF-FFFF00000000}"/>
  </bookViews>
  <sheets>
    <sheet name="Final Data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<sst xmlns="http://schemas.openxmlformats.org/spreadsheetml/2006/main" count="59" uniqueCount="17">
  <si>
    <t>Location</t>
  </si>
  <si>
    <t>Sample number</t>
  </si>
  <si>
    <t>Sediment Size</t>
  </si>
  <si>
    <t>Latitude</t>
  </si>
  <si>
    <t>Longitude</t>
  </si>
  <si>
    <t>No Forams</t>
  </si>
  <si>
    <t xml:space="preserve">Star </t>
  </si>
  <si>
    <t>smooth spiral</t>
  </si>
  <si>
    <t>rough spiral</t>
  </si>
  <si>
    <t>rounded flat</t>
  </si>
  <si>
    <t>round</t>
  </si>
  <si>
    <t>Crest</t>
  </si>
  <si>
    <t>Lagoon</t>
  </si>
  <si>
    <t>Flat</t>
  </si>
  <si>
    <t>rice-grain</t>
  </si>
  <si>
    <t>bell</t>
  </si>
  <si>
    <t>bumpy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</si>
</sst>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right"/>
    </xf>
    <xf numFmtId="0" fontId="1" fillId="3" borderId="0" xfId="0" applyFont="1" applyFill="1"/>
    <xf numFmtId="0" fontId="2" fillId="3" borderId="0" xfId="0" applyFont="1" applyFill="1" applyAlignment="1">
      <alignment horizontal="right"/>
    </xf>
    <xf numFmtId="0" fontId="1" fillId="4" borderId="0" xfId="0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47"/>
  <sheetViews>
    <sheetView tabSelected="1" topLeftCell="A15" zoomScale="85" workbookViewId="0">
      <selection activeCell="G46" sqref="G46"/>
    </sheetView>
  </sheetViews>
  <sheetFormatPr defaultColWidth="12.6640625" defaultRowHeight="15.75" customHeight="1" x14ac:dyDescent="0.25"/>
  <cols>
    <col min="1" max="1" width="9" bestFit="1" customWidth="1"/>
    <col min="2" max="2" width="15" bestFit="1" customWidth="1"/>
    <col min="3" max="3" width="13.6640625" bestFit="1" customWidth="1"/>
    <col min="4" max="4" width="13.44140625" bestFit="1" customWidth="1"/>
    <col min="5" max="5" width="13.6640625" bestFit="1" customWidth="1"/>
    <col min="6" max="6" width="10.44140625" bestFit="1" customWidth="1"/>
    <col min="7" max="7" width="5.21875" bestFit="1" customWidth="1"/>
    <col min="8" max="8" width="12.5546875" bestFit="1" customWidth="1"/>
    <col min="9" max="9" width="11.21875" bestFit="1" customWidth="1"/>
    <col min="10" max="10" width="15.77734375" bestFit="1" customWidth="1"/>
    <col min="11" max="11" width="11.5546875" bestFit="1" customWidth="1"/>
    <col min="12" max="12" width="10.109375" bestFit="1" customWidth="1"/>
    <col min="13" max="13" width="15.21875" bestFit="1" customWidth="1"/>
    <col min="14" max="14" width="6.33203125" bestFit="1" customWidth="1"/>
    <col min="15" max="18" width="22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9</v>
      </c>
      <c r="L1" s="1" t="s">
        <v>15</v>
      </c>
      <c r="M1" s="1" t="s">
        <v>16</v>
      </c>
      <c r="N1" s="1" t="s">
        <v>10</v>
      </c>
    </row>
    <row r="2" spans="1:33" x14ac:dyDescent="0.25">
      <c r="A2" s="2" t="s">
        <v>11</v>
      </c>
      <c r="B2" s="2">
        <v>1</v>
      </c>
      <c r="C2" s="2">
        <v>125</v>
      </c>
      <c r="D2" s="2">
        <v>-23.464972199999998</v>
      </c>
      <c r="E2" s="2">
        <v>151.9793889</v>
      </c>
      <c r="F2" s="2">
        <f t="shared" ref="F2:F46" si="0">200-(SUM(G2:N2))</f>
        <v>196</v>
      </c>
      <c r="G2" s="2"/>
      <c r="H2" s="2">
        <v>1</v>
      </c>
      <c r="I2" s="2"/>
      <c r="J2" s="2"/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x14ac:dyDescent="0.25">
      <c r="A3" s="2" t="s">
        <v>11</v>
      </c>
      <c r="B3" s="2">
        <v>1</v>
      </c>
      <c r="C3" s="2">
        <v>250</v>
      </c>
      <c r="D3" s="2">
        <v>-23.464972199999998</v>
      </c>
      <c r="E3" s="2">
        <v>151.9793889</v>
      </c>
      <c r="F3" s="2">
        <f t="shared" si="0"/>
        <v>191</v>
      </c>
      <c r="G3" s="2">
        <v>4</v>
      </c>
      <c r="H3" s="2">
        <v>2</v>
      </c>
      <c r="I3" s="2"/>
      <c r="J3" s="2">
        <v>2</v>
      </c>
      <c r="K3" s="2">
        <v>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x14ac:dyDescent="0.25">
      <c r="A4" s="2" t="s">
        <v>11</v>
      </c>
      <c r="B4" s="2">
        <v>1</v>
      </c>
      <c r="C4" s="2">
        <v>500</v>
      </c>
      <c r="D4" s="2">
        <v>-23.464972199999998</v>
      </c>
      <c r="E4" s="2">
        <v>151.9793889</v>
      </c>
      <c r="F4" s="2">
        <f t="shared" si="0"/>
        <v>167</v>
      </c>
      <c r="G4" s="2">
        <v>29</v>
      </c>
      <c r="H4" s="2"/>
      <c r="I4" s="2">
        <v>1</v>
      </c>
      <c r="J4" s="2"/>
      <c r="K4" s="2">
        <v>2</v>
      </c>
      <c r="L4" s="2">
        <v>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x14ac:dyDescent="0.25">
      <c r="A5" s="2" t="s">
        <v>11</v>
      </c>
      <c r="B5" s="2">
        <v>2</v>
      </c>
      <c r="C5" s="2">
        <v>125</v>
      </c>
      <c r="D5" s="2">
        <v>-23.464529299999999</v>
      </c>
      <c r="E5" s="2">
        <v>151.982552</v>
      </c>
      <c r="F5" s="2">
        <f t="shared" si="0"/>
        <v>197</v>
      </c>
      <c r="G5" s="2"/>
      <c r="H5" s="2"/>
      <c r="I5" s="2"/>
      <c r="J5" s="2">
        <v>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25">
      <c r="A6" s="2" t="s">
        <v>11</v>
      </c>
      <c r="B6" s="2">
        <v>2</v>
      </c>
      <c r="C6" s="2">
        <v>250</v>
      </c>
      <c r="D6" s="2">
        <v>-23.464529299999999</v>
      </c>
      <c r="E6" s="2">
        <v>151.982552</v>
      </c>
      <c r="F6" s="2">
        <f t="shared" si="0"/>
        <v>197</v>
      </c>
      <c r="G6" s="2">
        <v>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x14ac:dyDescent="0.25">
      <c r="A7" s="2" t="s">
        <v>11</v>
      </c>
      <c r="B7" s="2">
        <v>2</v>
      </c>
      <c r="C7" s="2">
        <v>500</v>
      </c>
      <c r="D7" s="2">
        <v>-23.464529299999999</v>
      </c>
      <c r="E7" s="2">
        <v>151.982552</v>
      </c>
      <c r="F7" s="2">
        <f t="shared" si="0"/>
        <v>153</v>
      </c>
      <c r="G7" s="2">
        <v>47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25">
      <c r="A8" s="2" t="s">
        <v>11</v>
      </c>
      <c r="B8" s="2">
        <v>3</v>
      </c>
      <c r="C8" s="3">
        <v>125</v>
      </c>
      <c r="D8" s="2">
        <v>-23.46245</v>
      </c>
      <c r="E8" s="2">
        <v>151.981967</v>
      </c>
      <c r="F8" s="2">
        <f t="shared" si="0"/>
        <v>195</v>
      </c>
      <c r="G8" s="2"/>
      <c r="H8" s="2"/>
      <c r="I8" s="2"/>
      <c r="J8" s="2">
        <v>4</v>
      </c>
      <c r="K8" s="2"/>
      <c r="L8" s="2">
        <v>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25">
      <c r="A9" s="2" t="s">
        <v>11</v>
      </c>
      <c r="B9" s="2">
        <v>3</v>
      </c>
      <c r="C9" s="3">
        <v>250</v>
      </c>
      <c r="D9" s="2">
        <v>-23.46245</v>
      </c>
      <c r="E9" s="2">
        <v>151.981967</v>
      </c>
      <c r="F9" s="2">
        <f t="shared" si="0"/>
        <v>190</v>
      </c>
      <c r="G9" s="2">
        <v>2</v>
      </c>
      <c r="H9" s="2">
        <v>4</v>
      </c>
      <c r="I9" s="2"/>
      <c r="J9" s="2">
        <v>1</v>
      </c>
      <c r="K9" s="2">
        <v>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 s="2" t="s">
        <v>11</v>
      </c>
      <c r="B10" s="2">
        <v>3</v>
      </c>
      <c r="C10" s="3">
        <v>500</v>
      </c>
      <c r="D10" s="2">
        <v>-23.46245</v>
      </c>
      <c r="E10" s="2">
        <v>151.981967</v>
      </c>
      <c r="F10" s="2">
        <f t="shared" si="0"/>
        <v>166</v>
      </c>
      <c r="G10" s="2">
        <v>33</v>
      </c>
      <c r="H10" s="2"/>
      <c r="I10" s="2"/>
      <c r="J10" s="2"/>
      <c r="K10" s="2"/>
      <c r="L10" s="2"/>
      <c r="M10" s="2">
        <v>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x14ac:dyDescent="0.25">
      <c r="A11" s="2" t="s">
        <v>11</v>
      </c>
      <c r="B11" s="2">
        <v>4</v>
      </c>
      <c r="C11" s="3">
        <v>125</v>
      </c>
      <c r="D11" s="2">
        <v>-23.462582999999999</v>
      </c>
      <c r="E11" s="2">
        <v>151.983833</v>
      </c>
      <c r="F11" s="2">
        <f t="shared" si="0"/>
        <v>192</v>
      </c>
      <c r="G11" s="2">
        <v>1</v>
      </c>
      <c r="H11" s="2"/>
      <c r="I11" s="2"/>
      <c r="J11" s="2">
        <v>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25">
      <c r="A12" s="2" t="s">
        <v>11</v>
      </c>
      <c r="B12" s="2">
        <v>4</v>
      </c>
      <c r="C12" s="3">
        <v>250</v>
      </c>
      <c r="D12" s="2">
        <v>-23.462582999999999</v>
      </c>
      <c r="E12" s="2">
        <v>151.983833</v>
      </c>
      <c r="F12" s="2">
        <f t="shared" si="0"/>
        <v>196</v>
      </c>
      <c r="G12" s="2">
        <v>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x14ac:dyDescent="0.25">
      <c r="A13" s="2" t="s">
        <v>11</v>
      </c>
      <c r="B13" s="2">
        <v>4</v>
      </c>
      <c r="C13" s="3">
        <v>500</v>
      </c>
      <c r="D13" s="2">
        <v>-23.462582999999999</v>
      </c>
      <c r="E13" s="2">
        <v>151.983833</v>
      </c>
      <c r="F13" s="2">
        <f t="shared" si="0"/>
        <v>142</v>
      </c>
      <c r="G13" s="2">
        <v>49</v>
      </c>
      <c r="H13" s="2"/>
      <c r="I13" s="2"/>
      <c r="J13" s="2"/>
      <c r="K13" s="2"/>
      <c r="L13" s="2">
        <v>9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25">
      <c r="A14" s="2" t="s">
        <v>11</v>
      </c>
      <c r="B14" s="2">
        <v>5</v>
      </c>
      <c r="C14" s="3">
        <v>125</v>
      </c>
      <c r="D14" s="2">
        <v>-23.462150000000001</v>
      </c>
      <c r="E14" s="2">
        <v>151.98580000000001</v>
      </c>
      <c r="F14" s="2">
        <f t="shared" si="0"/>
        <v>197</v>
      </c>
      <c r="G14" s="2">
        <v>1</v>
      </c>
      <c r="H14" s="2"/>
      <c r="I14" s="2"/>
      <c r="J14" s="2">
        <v>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x14ac:dyDescent="0.25">
      <c r="A15" s="2" t="s">
        <v>11</v>
      </c>
      <c r="B15" s="2">
        <v>5</v>
      </c>
      <c r="C15" s="3">
        <v>250</v>
      </c>
      <c r="D15" s="2">
        <v>-23.462150000000001</v>
      </c>
      <c r="E15" s="2">
        <v>151.98580000000001</v>
      </c>
      <c r="F15" s="2">
        <f t="shared" si="0"/>
        <v>187</v>
      </c>
      <c r="G15" s="2">
        <v>11</v>
      </c>
      <c r="H15" s="2">
        <v>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5">
      <c r="A16" s="2" t="s">
        <v>11</v>
      </c>
      <c r="B16" s="2">
        <v>5</v>
      </c>
      <c r="C16" s="3">
        <v>500</v>
      </c>
      <c r="D16" s="2">
        <v>-23.462150000000001</v>
      </c>
      <c r="E16" s="2">
        <v>151.98580000000001</v>
      </c>
      <c r="F16" s="2">
        <f t="shared" si="0"/>
        <v>109</v>
      </c>
      <c r="G16" s="2">
        <v>87</v>
      </c>
      <c r="H16" s="2"/>
      <c r="I16" s="2">
        <v>1</v>
      </c>
      <c r="J16" s="2">
        <v>1</v>
      </c>
      <c r="K16" s="2"/>
      <c r="L16" s="2"/>
      <c r="M16" s="2"/>
      <c r="N16" s="2">
        <v>2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x14ac:dyDescent="0.25">
      <c r="A17" s="4" t="s">
        <v>12</v>
      </c>
      <c r="B17" s="4">
        <v>1</v>
      </c>
      <c r="C17" s="5">
        <v>125</v>
      </c>
      <c r="D17" s="4">
        <v>-23.451833000000001</v>
      </c>
      <c r="E17" s="4">
        <v>151.96068299999999</v>
      </c>
      <c r="F17" s="4">
        <f t="shared" si="0"/>
        <v>197</v>
      </c>
      <c r="G17" s="4"/>
      <c r="H17" s="4">
        <v>1</v>
      </c>
      <c r="I17" s="4"/>
      <c r="J17" s="4">
        <v>2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25">
      <c r="A18" s="4" t="s">
        <v>12</v>
      </c>
      <c r="B18" s="4">
        <v>1</v>
      </c>
      <c r="C18" s="5">
        <v>250</v>
      </c>
      <c r="D18" s="4">
        <v>-23.451833000000001</v>
      </c>
      <c r="E18" s="4">
        <v>151.96068299999999</v>
      </c>
      <c r="F18" s="4">
        <f t="shared" si="0"/>
        <v>198</v>
      </c>
      <c r="G18" s="4"/>
      <c r="H18" s="4">
        <v>1</v>
      </c>
      <c r="I18" s="4"/>
      <c r="J18" s="4"/>
      <c r="K18" s="4"/>
      <c r="L18" s="4">
        <v>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25">
      <c r="A19" s="4" t="s">
        <v>12</v>
      </c>
      <c r="B19" s="4">
        <v>1</v>
      </c>
      <c r="C19" s="5">
        <v>500</v>
      </c>
      <c r="D19" s="4">
        <v>-23.451833000000001</v>
      </c>
      <c r="E19" s="4">
        <v>151.96068299999999</v>
      </c>
      <c r="F19" s="4">
        <f t="shared" si="0"/>
        <v>198</v>
      </c>
      <c r="G19" s="4"/>
      <c r="H19" s="4">
        <v>2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25">
      <c r="A20" s="4" t="s">
        <v>12</v>
      </c>
      <c r="B20" s="4">
        <v>2</v>
      </c>
      <c r="C20" s="5">
        <v>125</v>
      </c>
      <c r="D20" s="4">
        <v>-23.451267000000001</v>
      </c>
      <c r="E20" s="4">
        <v>151.96090000000001</v>
      </c>
      <c r="F20" s="4">
        <f t="shared" si="0"/>
        <v>197</v>
      </c>
      <c r="G20" s="4"/>
      <c r="H20" s="4">
        <v>2</v>
      </c>
      <c r="I20" s="4"/>
      <c r="J20" s="4">
        <v>1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25">
      <c r="A21" s="4" t="s">
        <v>12</v>
      </c>
      <c r="B21" s="4">
        <v>2</v>
      </c>
      <c r="C21" s="5">
        <v>250</v>
      </c>
      <c r="D21" s="4">
        <v>-23.451267000000001</v>
      </c>
      <c r="E21" s="4">
        <v>151.96090000000001</v>
      </c>
      <c r="F21" s="4">
        <f t="shared" si="0"/>
        <v>195</v>
      </c>
      <c r="G21" s="4"/>
      <c r="H21" s="4"/>
      <c r="I21" s="4">
        <v>1</v>
      </c>
      <c r="J21" s="4">
        <v>2</v>
      </c>
      <c r="K21" s="4">
        <v>2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25">
      <c r="A22" s="4" t="s">
        <v>12</v>
      </c>
      <c r="B22" s="4">
        <v>2</v>
      </c>
      <c r="C22" s="5">
        <v>500</v>
      </c>
      <c r="D22" s="4">
        <v>-23.451267000000001</v>
      </c>
      <c r="E22" s="4">
        <v>151.96090000000001</v>
      </c>
      <c r="F22" s="4">
        <f t="shared" si="0"/>
        <v>199</v>
      </c>
      <c r="G22" s="4"/>
      <c r="H22" s="4"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25">
      <c r="A23" s="4" t="s">
        <v>12</v>
      </c>
      <c r="B23" s="4">
        <v>3</v>
      </c>
      <c r="C23" s="5">
        <v>125</v>
      </c>
      <c r="D23" s="4">
        <v>-23.449805699999999</v>
      </c>
      <c r="E23" s="4">
        <v>151.9607091</v>
      </c>
      <c r="F23" s="4">
        <f t="shared" si="0"/>
        <v>191</v>
      </c>
      <c r="G23" s="4"/>
      <c r="H23" s="4">
        <v>1</v>
      </c>
      <c r="I23" s="4"/>
      <c r="J23" s="4">
        <v>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25">
      <c r="A24" s="4" t="s">
        <v>12</v>
      </c>
      <c r="B24" s="4">
        <v>3</v>
      </c>
      <c r="C24" s="5">
        <v>250</v>
      </c>
      <c r="D24" s="4">
        <v>-23.449805699999999</v>
      </c>
      <c r="E24" s="4">
        <v>151.9607091</v>
      </c>
      <c r="F24" s="4">
        <f t="shared" si="0"/>
        <v>198</v>
      </c>
      <c r="G24" s="4"/>
      <c r="H24" s="4"/>
      <c r="I24" s="4"/>
      <c r="J24" s="4">
        <v>1</v>
      </c>
      <c r="K24" s="4"/>
      <c r="L24" s="4"/>
      <c r="M24" s="4">
        <v>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25">
      <c r="A25" s="4" t="s">
        <v>12</v>
      </c>
      <c r="B25" s="4">
        <v>3</v>
      </c>
      <c r="C25" s="5">
        <v>500</v>
      </c>
      <c r="D25" s="4">
        <v>-23.449805699999999</v>
      </c>
      <c r="E25" s="4">
        <v>151.9607091</v>
      </c>
      <c r="F25" s="4">
        <f t="shared" si="0"/>
        <v>198</v>
      </c>
      <c r="G25" s="4"/>
      <c r="H25" s="4"/>
      <c r="I25" s="4">
        <v>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25">
      <c r="A26" s="4" t="s">
        <v>12</v>
      </c>
      <c r="B26" s="4">
        <v>4</v>
      </c>
      <c r="C26" s="5">
        <v>125</v>
      </c>
      <c r="D26" s="4">
        <v>-23.448438800000002</v>
      </c>
      <c r="E26" s="4">
        <v>151.95748990000001</v>
      </c>
      <c r="F26" s="4">
        <f t="shared" si="0"/>
        <v>191</v>
      </c>
      <c r="G26" s="4"/>
      <c r="H26" s="4">
        <v>1</v>
      </c>
      <c r="I26" s="4"/>
      <c r="J26" s="4">
        <v>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25">
      <c r="A27" s="4" t="s">
        <v>12</v>
      </c>
      <c r="B27" s="4">
        <v>4</v>
      </c>
      <c r="C27" s="5">
        <v>250</v>
      </c>
      <c r="D27" s="4">
        <v>-23.448438800000002</v>
      </c>
      <c r="E27" s="4">
        <v>151.95748990000001</v>
      </c>
      <c r="F27" s="4">
        <f t="shared" si="0"/>
        <v>194</v>
      </c>
      <c r="G27" s="4">
        <v>2</v>
      </c>
      <c r="H27" s="4">
        <v>2</v>
      </c>
      <c r="I27" s="4"/>
      <c r="J27" s="4">
        <v>1</v>
      </c>
      <c r="K27" s="4"/>
      <c r="L27" s="4"/>
      <c r="M27" s="4">
        <v>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25">
      <c r="A28" s="4" t="s">
        <v>12</v>
      </c>
      <c r="B28" s="4">
        <v>4</v>
      </c>
      <c r="C28" s="5">
        <v>500</v>
      </c>
      <c r="D28" s="4">
        <v>-23.448438800000002</v>
      </c>
      <c r="E28" s="4">
        <v>151.95748990000001</v>
      </c>
      <c r="F28" s="4">
        <f t="shared" si="0"/>
        <v>199</v>
      </c>
      <c r="G28" s="4"/>
      <c r="H28" s="4"/>
      <c r="I28" s="4"/>
      <c r="J28" s="4"/>
      <c r="K28" s="4">
        <v>1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25">
      <c r="A29" s="4" t="s">
        <v>12</v>
      </c>
      <c r="B29" s="4">
        <v>5</v>
      </c>
      <c r="C29" s="5">
        <v>125</v>
      </c>
      <c r="D29" s="4">
        <v>-23.437634299999999</v>
      </c>
      <c r="E29" s="4">
        <v>151.92278719999999</v>
      </c>
      <c r="F29" s="4">
        <f t="shared" si="0"/>
        <v>188</v>
      </c>
      <c r="G29" s="4"/>
      <c r="H29" s="4">
        <v>6</v>
      </c>
      <c r="I29" s="4"/>
      <c r="J29" s="4">
        <v>2</v>
      </c>
      <c r="K29" s="4">
        <v>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25">
      <c r="A30" s="4" t="s">
        <v>12</v>
      </c>
      <c r="B30" s="4">
        <v>5</v>
      </c>
      <c r="C30" s="5">
        <v>250</v>
      </c>
      <c r="D30" s="4">
        <v>-23.437634299999999</v>
      </c>
      <c r="E30" s="4">
        <v>151.92278719999999</v>
      </c>
      <c r="F30" s="4">
        <f t="shared" si="0"/>
        <v>198</v>
      </c>
      <c r="G30" s="4"/>
      <c r="H30" s="4"/>
      <c r="I30" s="4"/>
      <c r="J30" s="4">
        <v>1</v>
      </c>
      <c r="K30" s="4">
        <v>1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25">
      <c r="A31" s="4" t="s">
        <v>12</v>
      </c>
      <c r="B31" s="4">
        <v>5</v>
      </c>
      <c r="C31" s="5">
        <v>500</v>
      </c>
      <c r="D31" s="4">
        <v>-23.437634299999999</v>
      </c>
      <c r="E31" s="4">
        <v>151.92278719999999</v>
      </c>
      <c r="F31" s="4">
        <f t="shared" si="0"/>
        <v>200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25">
      <c r="A32" s="6" t="s">
        <v>13</v>
      </c>
      <c r="B32" s="6">
        <v>1</v>
      </c>
      <c r="C32" s="7">
        <v>125</v>
      </c>
      <c r="D32" s="6">
        <v>-23.441927400000001</v>
      </c>
      <c r="E32" s="6">
        <v>151.92815490000001</v>
      </c>
      <c r="F32" s="6">
        <f t="shared" si="0"/>
        <v>198</v>
      </c>
      <c r="G32" s="6"/>
      <c r="H32" s="6"/>
      <c r="I32" s="6"/>
      <c r="J32" s="6"/>
      <c r="K32" s="6">
        <v>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spans="1:33" x14ac:dyDescent="0.25">
      <c r="A33" s="6" t="s">
        <v>13</v>
      </c>
      <c r="B33" s="6">
        <v>1</v>
      </c>
      <c r="C33" s="7">
        <v>250</v>
      </c>
      <c r="D33" s="6">
        <v>-23.441927400000001</v>
      </c>
      <c r="E33" s="6">
        <v>151.92815490000001</v>
      </c>
      <c r="F33" s="6">
        <f t="shared" si="0"/>
        <v>197</v>
      </c>
      <c r="G33" s="6">
        <v>3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spans="1:33" x14ac:dyDescent="0.25">
      <c r="A34" s="6" t="s">
        <v>13</v>
      </c>
      <c r="B34" s="6">
        <v>1</v>
      </c>
      <c r="C34" s="7">
        <v>500</v>
      </c>
      <c r="D34" s="6">
        <v>-23.441927400000001</v>
      </c>
      <c r="E34" s="6">
        <v>151.92815490000001</v>
      </c>
      <c r="F34" s="6">
        <f t="shared" si="0"/>
        <v>199</v>
      </c>
      <c r="G34" s="6">
        <v>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spans="1:33" x14ac:dyDescent="0.25">
      <c r="A35" s="6" t="s">
        <v>13</v>
      </c>
      <c r="B35" s="6">
        <v>2</v>
      </c>
      <c r="C35" s="7">
        <v>125</v>
      </c>
      <c r="D35" s="6">
        <v>-23.441160100000001</v>
      </c>
      <c r="E35" s="6">
        <v>151.92731559999999</v>
      </c>
      <c r="F35" s="6">
        <f t="shared" si="0"/>
        <v>199</v>
      </c>
      <c r="G35" s="6"/>
      <c r="H35" s="6">
        <v>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spans="1:33" x14ac:dyDescent="0.25">
      <c r="A36" s="6" t="s">
        <v>13</v>
      </c>
      <c r="B36" s="6">
        <v>2</v>
      </c>
      <c r="C36" s="7">
        <v>250</v>
      </c>
      <c r="D36" s="6">
        <v>-23.441160100000001</v>
      </c>
      <c r="E36" s="6">
        <v>151.92731559999999</v>
      </c>
      <c r="F36" s="6">
        <f t="shared" si="0"/>
        <v>198</v>
      </c>
      <c r="G36" s="6"/>
      <c r="H36" s="6"/>
      <c r="I36" s="6"/>
      <c r="J36" s="6"/>
      <c r="K36" s="6"/>
      <c r="L36" s="6"/>
      <c r="M36" s="6">
        <v>2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spans="1:33" x14ac:dyDescent="0.25">
      <c r="A37" s="6" t="s">
        <v>13</v>
      </c>
      <c r="B37" s="6">
        <v>2</v>
      </c>
      <c r="C37" s="7">
        <v>500</v>
      </c>
      <c r="D37" s="6">
        <v>-23.441160100000001</v>
      </c>
      <c r="E37" s="6">
        <v>151.92731559999999</v>
      </c>
      <c r="F37" s="6">
        <f t="shared" si="0"/>
        <v>186</v>
      </c>
      <c r="G37" s="6">
        <v>14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spans="1:33" x14ac:dyDescent="0.25">
      <c r="A38" s="6" t="s">
        <v>13</v>
      </c>
      <c r="B38" s="6">
        <v>3</v>
      </c>
      <c r="C38" s="7">
        <v>125</v>
      </c>
      <c r="D38" s="6">
        <v>-23.440383799999999</v>
      </c>
      <c r="E38" s="6">
        <v>151.92647070000001</v>
      </c>
      <c r="F38" s="6">
        <f t="shared" si="0"/>
        <v>194</v>
      </c>
      <c r="G38" s="6"/>
      <c r="H38" s="6"/>
      <c r="I38" s="6"/>
      <c r="J38" s="6">
        <v>4</v>
      </c>
      <c r="K38" s="6">
        <v>1</v>
      </c>
      <c r="L38" s="6">
        <v>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spans="1:33" x14ac:dyDescent="0.25">
      <c r="A39" s="6" t="s">
        <v>13</v>
      </c>
      <c r="B39" s="6">
        <v>3</v>
      </c>
      <c r="C39" s="7">
        <v>250</v>
      </c>
      <c r="D39" s="6">
        <v>-23.440383799999999</v>
      </c>
      <c r="E39" s="6">
        <v>151.92647070000001</v>
      </c>
      <c r="F39" s="6">
        <f t="shared" si="0"/>
        <v>197</v>
      </c>
      <c r="G39" s="6"/>
      <c r="H39" s="6">
        <v>3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spans="1:33" x14ac:dyDescent="0.25">
      <c r="A40" s="6" t="s">
        <v>13</v>
      </c>
      <c r="B40" s="6">
        <v>3</v>
      </c>
      <c r="C40" s="7">
        <v>500</v>
      </c>
      <c r="D40" s="6">
        <v>-23.440383799999999</v>
      </c>
      <c r="E40" s="6">
        <v>151.92647070000001</v>
      </c>
      <c r="F40" s="6">
        <f t="shared" si="0"/>
        <v>186</v>
      </c>
      <c r="G40" s="6">
        <v>14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spans="1:33" x14ac:dyDescent="0.25">
      <c r="A41" s="6" t="s">
        <v>13</v>
      </c>
      <c r="B41" s="6">
        <v>4</v>
      </c>
      <c r="C41" s="7">
        <v>125</v>
      </c>
      <c r="D41" s="6">
        <v>-23.439250699999999</v>
      </c>
      <c r="E41" s="6">
        <v>151.9245276</v>
      </c>
      <c r="F41" s="6">
        <f t="shared" si="0"/>
        <v>193</v>
      </c>
      <c r="G41" s="6"/>
      <c r="H41" s="6"/>
      <c r="I41" s="6"/>
      <c r="J41" s="6">
        <v>4</v>
      </c>
      <c r="K41" s="6">
        <v>3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spans="1:33" x14ac:dyDescent="0.25">
      <c r="A42" s="6" t="s">
        <v>13</v>
      </c>
      <c r="B42" s="6">
        <v>4</v>
      </c>
      <c r="C42" s="7">
        <v>250</v>
      </c>
      <c r="D42" s="6">
        <v>-23.439250699999999</v>
      </c>
      <c r="E42" s="6">
        <v>151.9245276</v>
      </c>
      <c r="F42" s="6">
        <f t="shared" si="0"/>
        <v>194</v>
      </c>
      <c r="G42" s="6">
        <v>1</v>
      </c>
      <c r="H42" s="6"/>
      <c r="I42" s="6"/>
      <c r="J42" s="6"/>
      <c r="K42" s="6">
        <v>4</v>
      </c>
      <c r="L42" s="6"/>
      <c r="M42" s="6">
        <v>1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spans="1:33" x14ac:dyDescent="0.25">
      <c r="A43" s="6" t="s">
        <v>13</v>
      </c>
      <c r="B43" s="6">
        <v>4</v>
      </c>
      <c r="C43" s="7">
        <v>500</v>
      </c>
      <c r="D43" s="6">
        <v>-23.439250699999999</v>
      </c>
      <c r="E43" s="6">
        <v>151.9245276</v>
      </c>
      <c r="F43" s="6">
        <f t="shared" si="0"/>
        <v>181</v>
      </c>
      <c r="G43" s="6">
        <v>19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spans="1:33" x14ac:dyDescent="0.25">
      <c r="A44" s="6" t="s">
        <v>13</v>
      </c>
      <c r="B44" s="6">
        <v>5</v>
      </c>
      <c r="C44" s="7">
        <v>125</v>
      </c>
      <c r="D44" s="6">
        <v>-23.437634299999999</v>
      </c>
      <c r="E44" s="6">
        <v>151.92278719999999</v>
      </c>
      <c r="F44" s="6">
        <f t="shared" si="0"/>
        <v>194</v>
      </c>
      <c r="G44" s="6">
        <v>6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spans="1:33" x14ac:dyDescent="0.25">
      <c r="A45" s="6" t="s">
        <v>13</v>
      </c>
      <c r="B45" s="6">
        <v>5</v>
      </c>
      <c r="C45" s="7">
        <v>250</v>
      </c>
      <c r="D45" s="6">
        <v>-23.437634299999999</v>
      </c>
      <c r="E45" s="6">
        <v>151.92278719999999</v>
      </c>
      <c r="F45" s="6">
        <f t="shared" si="0"/>
        <v>194</v>
      </c>
      <c r="G45" s="6">
        <v>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spans="1:33" x14ac:dyDescent="0.25">
      <c r="A46" s="6" t="s">
        <v>13</v>
      </c>
      <c r="B46" s="6">
        <v>5</v>
      </c>
      <c r="C46" s="7">
        <v>500</v>
      </c>
      <c r="D46" s="6">
        <v>-23.437634299999999</v>
      </c>
      <c r="E46" s="6">
        <v>151.92278719999999</v>
      </c>
      <c r="F46" s="6">
        <f t="shared" si="0"/>
        <v>137</v>
      </c>
      <c r="G46" s="6">
        <v>63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spans="1:33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Koh</cp:lastModifiedBy>
  <dcterms:modified xsi:type="dcterms:W3CDTF">2025-10-14T23:21:29Z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2025-10-14T21:33:35Z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36ce7955-c305-43d2-b0a4-990904631b21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